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dr\Desktop\ForgeX-Engineering-Consultation-System-main\ForgeX-Engineering-Consultation-System-main\data\"/>
    </mc:Choice>
  </mc:AlternateContent>
  <xr:revisionPtr revIDLastSave="0" documentId="13_ncr:1_{8D60F81F-69EA-4D0F-AE60-CD197F3A77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قص الليزر" sheetId="2" r:id="rId1"/>
    <sheet name="الطباعة " sheetId="3" r:id="rId2"/>
    <sheet name="الرسم والتصميم" sheetId="6" r:id="rId3"/>
    <sheet name="المسح 3D" sheetId="5" r:id="rId4"/>
    <sheet name="أوت سورس CNC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2" l="1"/>
  <c r="B22" i="2" s="1"/>
  <c r="B32" i="2" s="1"/>
  <c r="B37" i="2" s="1"/>
  <c r="H23" i="2"/>
  <c r="G26" i="2" s="1"/>
  <c r="G29" i="2" s="1"/>
  <c r="E32" i="2" s="1"/>
  <c r="G32" i="2" s="1"/>
  <c r="B18" i="4"/>
  <c r="B21" i="6" a="1"/>
  <c r="B21" i="6" s="1"/>
  <c r="B22" i="6" s="1"/>
  <c r="B23" i="6" s="1"/>
  <c r="B24" i="6" s="1"/>
  <c r="B26" i="6" s="1"/>
  <c r="B18" i="5"/>
  <c r="B17" i="5"/>
  <c r="B16" i="5"/>
  <c r="B17" i="4"/>
  <c r="B16" i="4"/>
  <c r="B15" i="4"/>
  <c r="B19" i="3"/>
  <c r="B18" i="3"/>
  <c r="B17" i="3"/>
  <c r="B38" i="2"/>
  <c r="B14" i="2"/>
  <c r="B18" i="2" s="1"/>
  <c r="B9" i="2"/>
  <c r="B19" i="5" l="1"/>
  <c r="B20" i="5" s="1"/>
  <c r="B20" i="3"/>
  <c r="B22" i="3" s="1"/>
  <c r="B40" i="2"/>
  <c r="B19" i="2"/>
  <c r="B39" i="2"/>
  <c r="B41" i="2" l="1"/>
  <c r="B44" i="2" s="1"/>
</calcChain>
</file>

<file path=xl/sharedStrings.xml><?xml version="1.0" encoding="utf-8"?>
<sst xmlns="http://schemas.openxmlformats.org/spreadsheetml/2006/main" count="175" uniqueCount="115">
  <si>
    <t>البند</t>
  </si>
  <si>
    <t>القيمة</t>
  </si>
  <si>
    <t>الوحدة</t>
  </si>
  <si>
    <t>جنيه</t>
  </si>
  <si>
    <t>العمر الافتراضي للماكينة</t>
  </si>
  <si>
    <t>سنة</t>
  </si>
  <si>
    <t>متوسط ساعات التشغيل الفعلية سنويًا</t>
  </si>
  <si>
    <t>ساعة/سنة</t>
  </si>
  <si>
    <t>القيمة المتبقية المتوقعة بعد نهاية العمر الافتراضي</t>
  </si>
  <si>
    <t>استهلاك الماكينة بالكهرباء</t>
  </si>
  <si>
    <t>كيلوواط</t>
  </si>
  <si>
    <t>سعر الكيلوواط/ساعة</t>
  </si>
  <si>
    <t>جنيه/ك.و.س</t>
  </si>
  <si>
    <t>جنيه/ساعة</t>
  </si>
  <si>
    <t>تكلفة الصيانة الدورية وقطع الغيار للساعة (عدسات/نوزلز)</t>
  </si>
  <si>
    <t xml:space="preserve">أجر المشغل للساعة </t>
  </si>
  <si>
    <t>سعر الخامة للسنتيمتر المربع</t>
  </si>
  <si>
    <t>جنيه/سم²</t>
  </si>
  <si>
    <t>نسبة هالك الخامة</t>
  </si>
  <si>
    <t>%</t>
  </si>
  <si>
    <t>جنيه/شغلانة</t>
  </si>
  <si>
    <t>هامش الربح المطلوب</t>
  </si>
  <si>
    <t>زمن القص المتوقع للقطعة الواحدة</t>
  </si>
  <si>
    <t>ساعة</t>
  </si>
  <si>
    <t>الكمية المطلوبة</t>
  </si>
  <si>
    <t>قطعة</t>
  </si>
  <si>
    <t>النتيجة</t>
  </si>
  <si>
    <t>إجمالي تكلفة الخامة (شامل الهالك)</t>
  </si>
  <si>
    <t>إجمالي زمن القص (كل الكمية)</t>
  </si>
  <si>
    <t>إجمالي تكلفة الإهلاك</t>
  </si>
  <si>
    <t>إجمالي تكلفة تشغيل الماكينة (بدون إهلاك)</t>
  </si>
  <si>
    <t>إجمالي التكلفة (خامة + تشغيل + إهلاك + تجهيز)</t>
  </si>
  <si>
    <t>السعر الإجمالي المقترح للعميل</t>
  </si>
  <si>
    <t>أسعار وتكاليف أساسية</t>
  </si>
  <si>
    <t>سعر خامة الطباعة للجرام</t>
  </si>
  <si>
    <t>جنيه/جرام</t>
  </si>
  <si>
    <t>سعر ساعة الماكينة (كهرباء + إهلاك + صيانة)</t>
  </si>
  <si>
    <t>تكلفة ما بعد المعالجة (تنظيف/دعامات/تشطيب) للقطعة</t>
  </si>
  <si>
    <t>جنيه/قطعة</t>
  </si>
  <si>
    <t>رسوم تجهيز الملف/التقطيع (لكل شغلانة)</t>
  </si>
  <si>
    <t>بيانات الشغلانة الحالية</t>
  </si>
  <si>
    <t>جرام</t>
  </si>
  <si>
    <t>زمن طباعة القطعة الواحدة</t>
  </si>
  <si>
    <t>إجمالي تكلفة الخامة</t>
  </si>
  <si>
    <t>إجمالي تكلفة زمن الطباعة</t>
  </si>
  <si>
    <t>إجمالي تكلفة ما بعد المعالجة</t>
  </si>
  <si>
    <t>إجمالي التكلفة</t>
  </si>
  <si>
    <t>أعمال الخراطة والفريزة (أوت سورس)</t>
  </si>
  <si>
    <t>أسعار وهوامش أساسية</t>
  </si>
  <si>
    <t>نسبة هامش فورجكس على سعر المورد</t>
  </si>
  <si>
    <t>رسوم إدارة المشروع ومتابعة التصنيع (لكل شغلانة)</t>
  </si>
  <si>
    <t>تكلفة الفحص والمراجعة الفنية (لكل شغلانة)</t>
  </si>
  <si>
    <t>تكلفة النقل من/إلى المورد</t>
  </si>
  <si>
    <t>سعر عرض المورد للقطعة الواحدة</t>
  </si>
  <si>
    <t>إجمالي تكلفة المورد</t>
  </si>
  <si>
    <t>قيمة هامش فورجكس</t>
  </si>
  <si>
    <t>إجمالي التكلفة قبل هامش فورجكس</t>
  </si>
  <si>
    <t>المسح ثلاثي الأبعاد — حاسبة التسعير</t>
  </si>
  <si>
    <t>سعر ساعة المسح (سكانر + مشغل)</t>
  </si>
  <si>
    <t>سعر ساعة معالجة البيانات (تنظيف السحابة النقطية وإخراج الموديل)</t>
  </si>
  <si>
    <t>رسوم الانتقال لموقع العميل (إن وجد)</t>
  </si>
  <si>
    <t>جنيه/زيارة</t>
  </si>
  <si>
    <t>عدد ساعات المسح المتوقعة</t>
  </si>
  <si>
    <t>عدد ساعات المعالجة المتوقعة</t>
  </si>
  <si>
    <t>هل الشغلانة محتاجة انتقال لموقع العميل؟ (1 = نعم / 0 = لا)</t>
  </si>
  <si>
    <t>تكلفة المسح</t>
  </si>
  <si>
    <t>تكلفة المعالجة</t>
  </si>
  <si>
    <t>تكلفة الانتقال</t>
  </si>
  <si>
    <t>الرسم والتصميم الهندسي — حاسبة التسعير</t>
  </si>
  <si>
    <t>أسعار أساسية</t>
  </si>
  <si>
    <t>سعر ساعة الرسم/التصميم</t>
  </si>
  <si>
    <t>مستوى التعقيد</t>
  </si>
  <si>
    <t>ساعات تقديرية / قطعة</t>
  </si>
  <si>
    <t>بسيط — قطعة فردية بسيطة الشكل</t>
  </si>
  <si>
    <t>متوسط — قطعة فردية متوسطة التعقيد</t>
  </si>
  <si>
    <t>معقد — قطعة فردية عالية التعقيد / أسطح حرة</t>
  </si>
  <si>
    <t>تجميعة (Assembly) — عدة أجزاء مترابطة</t>
  </si>
  <si>
    <t>عدد القطع/الرسومات المطلوبة</t>
  </si>
  <si>
    <t>الساعات التقديرية للقطعة الواحدة</t>
  </si>
  <si>
    <t>إجمالي الساعات (كل القطع)</t>
  </si>
  <si>
    <t>التكلفة شاملة رسوم الاستعجال</t>
  </si>
  <si>
    <t xml:space="preserve"> تكلفة تشغيل الساعة بدون إهلاك</t>
  </si>
  <si>
    <t xml:space="preserve"> بيانات إهلاك الماكينة </t>
  </si>
  <si>
    <t>سعر شراء الماكينة (شامل شحن وتركيب)</t>
  </si>
  <si>
    <t xml:space="preserve"> أسعار الخامة والهامش</t>
  </si>
  <si>
    <t xml:space="preserve"> معدل إهلاك الماكينة للساعة</t>
  </si>
  <si>
    <t xml:space="preserve"> تكلفة الكهرباء للساعة</t>
  </si>
  <si>
    <t>تكلفة الغازات المساعدة للساعة (تيوب)</t>
  </si>
  <si>
    <t xml:space="preserve"> إجمالي تكلفة التشغيل للساعة (بدون إهلاك)</t>
  </si>
  <si>
    <t xml:space="preserve"> سعر ساعة الماكينة الكامل (تشغيل + إهلاك)</t>
  </si>
  <si>
    <t xml:space="preserve">رسم تجهيز/برمجة الملف </t>
  </si>
  <si>
    <t>مقاسات اللوح</t>
  </si>
  <si>
    <t xml:space="preserve"> سعر اللوح</t>
  </si>
  <si>
    <t>السعر للسم</t>
  </si>
  <si>
    <t>الارتفاع</t>
  </si>
  <si>
    <t>العرض</t>
  </si>
  <si>
    <t>سعر الخام</t>
  </si>
  <si>
    <t>سعر الساعه</t>
  </si>
  <si>
    <t>وقت التشغيل</t>
  </si>
  <si>
    <t>سعر التكلفة</t>
  </si>
  <si>
    <t>نسبة الربح</t>
  </si>
  <si>
    <t>سعر البيع بالجمله</t>
  </si>
  <si>
    <t xml:space="preserve">القطاعي </t>
  </si>
  <si>
    <t>التسعير للقطاعي</t>
  </si>
  <si>
    <t>قص الليزر — حاسبة التسعير(شركات - جملة)</t>
  </si>
  <si>
    <t>سم</t>
  </si>
  <si>
    <t>ج.م</t>
  </si>
  <si>
    <t>الطباعة ثلاثية الأبعاد  —  حاسبة التسعير</t>
  </si>
  <si>
    <t>وزن القطعة الواحدة (شامل السبورتات)</t>
  </si>
  <si>
    <t xml:space="preserve">جدول تقدير الساعات حسب مستوى التعقيد </t>
  </si>
  <si>
    <t xml:space="preserve"> مستوى التعقيد</t>
  </si>
  <si>
    <t>رسوم استعجال</t>
  </si>
  <si>
    <t>التكلفة الأساسية</t>
  </si>
  <si>
    <t>عرض اللوح</t>
  </si>
  <si>
    <t>طول اللوح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</si>
</sst>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#,##0.00&quot; EGP&quot;"/>
    <numFmt numFmtId="165" formatCode="0.0%"/>
    <numFmt numFmtId="166" formatCode="0.00&quot; ساعة&quot;"/>
    <numFmt numFmtId="167" formatCode="#,##0.0"/>
    <numFmt numFmtId="168" formatCode="#,##0&quot; EGP&quot;"/>
  </numFmts>
  <fonts count="28" x14ac:knownFonts="1">
    <font>
      <sz val="11"/>
      <name val="Calibri"/>
      <scheme val="minor"/>
    </font>
    <font>
      <b/>
      <sz val="11"/>
      <color rgb="FFFFFFFF"/>
      <name val="Arial"/>
    </font>
    <font>
      <sz val="11"/>
      <name val="Calibri"/>
    </font>
    <font>
      <b/>
      <sz val="11"/>
      <color rgb="FF292929"/>
      <name val="Arial"/>
    </font>
    <font>
      <i/>
      <sz val="9"/>
      <color rgb="FF666666"/>
      <name val="Arial"/>
    </font>
    <font>
      <sz val="1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Arial"/>
      <family val="2"/>
    </font>
    <font>
      <b/>
      <sz val="11"/>
      <name val="Calibri"/>
      <family val="2"/>
      <scheme val="minor"/>
    </font>
    <font>
      <b/>
      <sz val="11"/>
      <color rgb="FF292929"/>
      <name val="Arial"/>
      <family val="2"/>
    </font>
    <font>
      <b/>
      <sz val="20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Calibri"/>
      <family val="2"/>
    </font>
    <font>
      <b/>
      <sz val="11"/>
      <color theme="1"/>
      <name val="Calibri"/>
      <family val="2"/>
    </font>
    <font>
      <b/>
      <sz val="18"/>
      <color theme="0"/>
      <name val="Stencil"/>
      <family val="5"/>
    </font>
    <font>
      <b/>
      <sz val="18"/>
      <color rgb="FFFFFFFF"/>
      <name val="Arial"/>
      <family val="2"/>
    </font>
    <font>
      <b/>
      <sz val="28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24"/>
      <color rgb="FFFFFFFF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2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22"/>
      <color rgb="FFFFFFFF"/>
      <name val="Arial"/>
      <family val="2"/>
    </font>
    <font>
      <b/>
      <sz val="14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5121B"/>
        <bgColor rgb="FFB5121B"/>
      </patternFill>
    </fill>
    <fill>
      <patternFill patternType="solid">
        <fgColor rgb="FF292929"/>
        <bgColor rgb="FF292929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B5121B"/>
      </patternFill>
    </fill>
    <fill>
      <patternFill patternType="solid">
        <fgColor theme="1" tint="4.9989318521683403E-2"/>
        <bgColor rgb="FF8EAADB"/>
      </patternFill>
    </fill>
    <fill>
      <patternFill patternType="solid">
        <fgColor theme="1" tint="4.9989318521683403E-2"/>
        <bgColor rgb="FFFFC000"/>
      </patternFill>
    </fill>
    <fill>
      <patternFill patternType="solid">
        <fgColor theme="1" tint="4.9989318521683403E-2"/>
        <bgColor rgb="FFB4C6E7"/>
      </patternFill>
    </fill>
    <fill>
      <patternFill patternType="solid">
        <fgColor theme="1" tint="4.9989318521683403E-2"/>
        <bgColor rgb="FF00B050"/>
      </patternFill>
    </fill>
    <fill>
      <patternFill patternType="solid">
        <fgColor theme="1" tint="4.9989318521683403E-2"/>
        <bgColor rgb="FF92D050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B5121B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rgb="FF8EAADB"/>
      </patternFill>
    </fill>
    <fill>
      <patternFill patternType="solid">
        <fgColor rgb="FFFFF2CC"/>
        <bgColor rgb="FFD8D8D8"/>
      </patternFill>
    </fill>
    <fill>
      <patternFill patternType="solid">
        <fgColor theme="0"/>
        <bgColor rgb="FFD8D8D8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CCCCCC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medium">
        <color indexed="64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medium">
        <color indexed="64"/>
      </right>
      <top style="thin">
        <color rgb="FFCCCCCC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CCCCCC"/>
      </bottom>
      <diagonal/>
    </border>
    <border>
      <left/>
      <right/>
      <top style="medium">
        <color indexed="64"/>
      </top>
      <bottom style="thin">
        <color rgb="FFCCCCCC"/>
      </bottom>
      <diagonal/>
    </border>
    <border>
      <left/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indexed="64"/>
      </left>
      <right/>
      <top/>
      <bottom style="thin">
        <color rgb="FFCCCCCC"/>
      </bottom>
      <diagonal/>
    </border>
    <border>
      <left/>
      <right style="medium">
        <color indexed="64"/>
      </right>
      <top/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CCCCCC"/>
      </left>
      <right/>
      <top style="medium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13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9" fillId="0" borderId="0" xfId="0" applyFont="1" applyAlignment="1">
      <alignment horizontal="center"/>
    </xf>
    <xf numFmtId="0" fontId="0" fillId="0" borderId="6" xfId="0" applyBorder="1"/>
    <xf numFmtId="0" fontId="0" fillId="0" borderId="1" xfId="0" applyBorder="1"/>
    <xf numFmtId="0" fontId="1" fillId="4" borderId="8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3" fillId="6" borderId="15" xfId="0" applyFont="1" applyFill="1" applyBorder="1" applyAlignment="1">
      <alignment horizontal="center"/>
    </xf>
    <xf numFmtId="0" fontId="13" fillId="6" borderId="18" xfId="0" applyFont="1" applyFill="1" applyBorder="1" applyAlignment="1">
      <alignment horizontal="center"/>
    </xf>
    <xf numFmtId="0" fontId="13" fillId="6" borderId="17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/>
    </xf>
    <xf numFmtId="0" fontId="14" fillId="9" borderId="37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4" fillId="10" borderId="38" xfId="0" applyFont="1" applyFill="1" applyBorder="1" applyAlignment="1">
      <alignment horizontal="center" vertical="center"/>
    </xf>
    <xf numFmtId="0" fontId="14" fillId="10" borderId="39" xfId="0" applyFont="1" applyFill="1" applyBorder="1" applyAlignment="1">
      <alignment horizontal="center" vertical="center"/>
    </xf>
    <xf numFmtId="0" fontId="14" fillId="11" borderId="42" xfId="0" applyFont="1" applyFill="1" applyBorder="1" applyAlignment="1">
      <alignment horizontal="center" vertical="center"/>
    </xf>
    <xf numFmtId="0" fontId="14" fillId="8" borderId="30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13" borderId="31" xfId="0" applyFont="1" applyFill="1" applyBorder="1" applyAlignment="1">
      <alignment horizontal="center" vertical="center"/>
    </xf>
    <xf numFmtId="0" fontId="15" fillId="13" borderId="32" xfId="0" applyFont="1" applyFill="1" applyBorder="1" applyAlignment="1">
      <alignment horizontal="center" vertical="center"/>
    </xf>
    <xf numFmtId="0" fontId="7" fillId="13" borderId="31" xfId="0" applyFont="1" applyFill="1" applyBorder="1" applyAlignment="1">
      <alignment horizontal="center" vertical="center"/>
    </xf>
    <xf numFmtId="0" fontId="7" fillId="13" borderId="32" xfId="0" applyFont="1" applyFill="1" applyBorder="1" applyAlignment="1">
      <alignment horizontal="center" vertical="center"/>
    </xf>
    <xf numFmtId="0" fontId="7" fillId="13" borderId="33" xfId="0" applyFont="1" applyFill="1" applyBorder="1" applyAlignment="1">
      <alignment horizontal="center" vertical="center"/>
    </xf>
    <xf numFmtId="0" fontId="9" fillId="15" borderId="7" xfId="0" applyFont="1" applyFill="1" applyBorder="1" applyAlignment="1">
      <alignment horizontal="center"/>
    </xf>
    <xf numFmtId="0" fontId="10" fillId="15" borderId="6" xfId="0" applyFont="1" applyFill="1" applyBorder="1" applyAlignment="1">
      <alignment horizontal="center" vertical="center" wrapText="1"/>
    </xf>
    <xf numFmtId="164" fontId="12" fillId="3" borderId="16" xfId="0" applyNumberFormat="1" applyFont="1" applyFill="1" applyBorder="1" applyAlignment="1">
      <alignment horizontal="center"/>
    </xf>
    <xf numFmtId="164" fontId="12" fillId="3" borderId="17" xfId="0" applyNumberFormat="1" applyFont="1" applyFill="1" applyBorder="1" applyAlignment="1">
      <alignment horizontal="center"/>
    </xf>
    <xf numFmtId="0" fontId="9" fillId="0" borderId="6" xfId="0" applyFont="1" applyBorder="1"/>
    <xf numFmtId="0" fontId="4" fillId="0" borderId="0" xfId="0" applyFont="1" applyAlignment="1">
      <alignment vertical="center" wrapText="1"/>
    </xf>
    <xf numFmtId="0" fontId="2" fillId="16" borderId="1" xfId="0" applyFont="1" applyFill="1" applyBorder="1"/>
    <xf numFmtId="0" fontId="3" fillId="0" borderId="1" xfId="0" applyFont="1" applyBorder="1" applyAlignment="1">
      <alignment horizontal="right" vertical="center" wrapText="1"/>
    </xf>
    <xf numFmtId="164" fontId="3" fillId="0" borderId="22" xfId="0" applyNumberFormat="1" applyFont="1" applyBorder="1" applyAlignment="1">
      <alignment horizontal="center" vertical="center"/>
    </xf>
    <xf numFmtId="0" fontId="0" fillId="0" borderId="7" xfId="0" applyBorder="1"/>
    <xf numFmtId="0" fontId="1" fillId="4" borderId="9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2" fillId="3" borderId="15" xfId="0" applyFont="1" applyFill="1" applyBorder="1" applyAlignment="1">
      <alignment horizontal="right" vertical="center" wrapText="1"/>
    </xf>
    <xf numFmtId="0" fontId="1" fillId="4" borderId="46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165" fontId="22" fillId="2" borderId="8" xfId="0" applyNumberFormat="1" applyFont="1" applyFill="1" applyBorder="1" applyAlignment="1">
      <alignment horizontal="center" vertical="center"/>
    </xf>
    <xf numFmtId="1" fontId="22" fillId="2" borderId="8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1" fillId="7" borderId="10" xfId="0" applyFont="1" applyFill="1" applyBorder="1" applyAlignment="1">
      <alignment horizontal="center" vertical="center" wrapText="1"/>
    </xf>
    <xf numFmtId="167" fontId="22" fillId="2" borderId="29" xfId="0" applyNumberFormat="1" applyFont="1" applyFill="1" applyBorder="1" applyAlignment="1">
      <alignment horizontal="center" vertical="center"/>
    </xf>
    <xf numFmtId="167" fontId="22" fillId="2" borderId="8" xfId="0" applyNumberFormat="1" applyFont="1" applyFill="1" applyBorder="1" applyAlignment="1">
      <alignment horizontal="center" vertical="center"/>
    </xf>
    <xf numFmtId="168" fontId="22" fillId="2" borderId="29" xfId="0" applyNumberFormat="1" applyFont="1" applyFill="1" applyBorder="1" applyAlignment="1">
      <alignment horizontal="center" vertical="center"/>
    </xf>
    <xf numFmtId="168" fontId="22" fillId="2" borderId="8" xfId="0" applyNumberFormat="1" applyFont="1" applyFill="1" applyBorder="1" applyAlignment="1">
      <alignment horizontal="center" vertical="center"/>
    </xf>
    <xf numFmtId="0" fontId="25" fillId="17" borderId="6" xfId="0" applyFont="1" applyFill="1" applyBorder="1"/>
    <xf numFmtId="4" fontId="19" fillId="2" borderId="46" xfId="0" applyNumberFormat="1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4" fontId="19" fillId="2" borderId="8" xfId="0" applyNumberFormat="1" applyFont="1" applyFill="1" applyBorder="1" applyAlignment="1">
      <alignment horizontal="center" vertical="center"/>
    </xf>
    <xf numFmtId="3" fontId="19" fillId="2" borderId="8" xfId="0" applyNumberFormat="1" applyFont="1" applyFill="1" applyBorder="1" applyAlignment="1">
      <alignment horizontal="center" vertical="center"/>
    </xf>
    <xf numFmtId="164" fontId="19" fillId="2" borderId="46" xfId="0" applyNumberFormat="1" applyFont="1" applyFill="1" applyBorder="1" applyAlignment="1">
      <alignment horizontal="center" vertical="center"/>
    </xf>
    <xf numFmtId="164" fontId="19" fillId="2" borderId="8" xfId="0" applyNumberFormat="1" applyFont="1" applyFill="1" applyBorder="1" applyAlignment="1">
      <alignment horizontal="center" vertical="center"/>
    </xf>
    <xf numFmtId="10" fontId="19" fillId="2" borderId="8" xfId="0" applyNumberFormat="1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164" fontId="19" fillId="15" borderId="8" xfId="0" applyNumberFormat="1" applyFont="1" applyFill="1" applyBorder="1" applyAlignment="1">
      <alignment horizontal="center" vertical="center"/>
    </xf>
    <xf numFmtId="164" fontId="19" fillId="2" borderId="29" xfId="0" applyNumberFormat="1" applyFont="1" applyFill="1" applyBorder="1" applyAlignment="1">
      <alignment horizontal="center" vertical="center"/>
    </xf>
    <xf numFmtId="164" fontId="8" fillId="4" borderId="8" xfId="0" applyNumberFormat="1" applyFont="1" applyFill="1" applyBorder="1" applyAlignment="1">
      <alignment horizontal="center" vertical="center"/>
    </xf>
    <xf numFmtId="4" fontId="19" fillId="2" borderId="29" xfId="0" applyNumberFormat="1" applyFont="1" applyFill="1" applyBorder="1" applyAlignment="1">
      <alignment horizontal="center" vertical="center"/>
    </xf>
    <xf numFmtId="0" fontId="19" fillId="2" borderId="29" xfId="1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4" fontId="19" fillId="2" borderId="3" xfId="0" applyNumberFormat="1" applyFont="1" applyFill="1" applyBorder="1" applyAlignment="1">
      <alignment horizontal="center" vertical="center"/>
    </xf>
    <xf numFmtId="4" fontId="19" fillId="2" borderId="6" xfId="0" applyNumberFormat="1" applyFont="1" applyFill="1" applyBorder="1" applyAlignment="1">
      <alignment horizontal="center" vertical="center"/>
    </xf>
    <xf numFmtId="3" fontId="19" fillId="2" borderId="6" xfId="0" applyNumberFormat="1" applyFont="1" applyFill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164" fontId="19" fillId="0" borderId="12" xfId="0" applyNumberFormat="1" applyFont="1" applyBorder="1" applyAlignment="1">
      <alignment horizontal="center" vertical="center"/>
    </xf>
    <xf numFmtId="164" fontId="19" fillId="0" borderId="6" xfId="0" applyNumberFormat="1" applyFont="1" applyBorder="1" applyAlignment="1">
      <alignment horizontal="center" vertical="center"/>
    </xf>
    <xf numFmtId="164" fontId="19" fillId="0" borderId="7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66" fontId="19" fillId="0" borderId="7" xfId="0" applyNumberFormat="1" applyFont="1" applyBorder="1" applyAlignment="1">
      <alignment horizontal="center" vertical="center"/>
    </xf>
    <xf numFmtId="165" fontId="19" fillId="2" borderId="55" xfId="0" applyNumberFormat="1" applyFont="1" applyFill="1" applyBorder="1" applyAlignment="1">
      <alignment horizontal="center" vertical="center"/>
    </xf>
    <xf numFmtId="0" fontId="20" fillId="18" borderId="56" xfId="0" applyFont="1" applyFill="1" applyBorder="1" applyAlignment="1">
      <alignment horizontal="center" vertical="center" wrapText="1"/>
    </xf>
    <xf numFmtId="0" fontId="20" fillId="18" borderId="5" xfId="0" applyFont="1" applyFill="1" applyBorder="1" applyAlignment="1">
      <alignment horizontal="center" vertical="center" wrapText="1"/>
    </xf>
    <xf numFmtId="165" fontId="19" fillId="2" borderId="50" xfId="0" applyNumberFormat="1" applyFont="1" applyFill="1" applyBorder="1" applyAlignment="1">
      <alignment horizontal="center" vertical="center"/>
    </xf>
    <xf numFmtId="0" fontId="20" fillId="18" borderId="12" xfId="0" applyFont="1" applyFill="1" applyBorder="1" applyAlignment="1">
      <alignment horizontal="center" vertical="center" wrapText="1"/>
    </xf>
    <xf numFmtId="0" fontId="10" fillId="18" borderId="6" xfId="0" applyFont="1" applyFill="1" applyBorder="1" applyAlignment="1">
      <alignment horizontal="center" vertical="center" wrapText="1"/>
    </xf>
    <xf numFmtId="164" fontId="19" fillId="18" borderId="8" xfId="0" applyNumberFormat="1" applyFont="1" applyFill="1" applyBorder="1" applyAlignment="1">
      <alignment horizontal="center" vertical="center"/>
    </xf>
    <xf numFmtId="0" fontId="9" fillId="18" borderId="7" xfId="0" applyFont="1" applyFill="1" applyBorder="1" applyAlignment="1">
      <alignment horizontal="center"/>
    </xf>
    <xf numFmtId="0" fontId="17" fillId="7" borderId="15" xfId="0" applyFont="1" applyFill="1" applyBorder="1" applyAlignment="1">
      <alignment horizontal="center" vertical="center" wrapText="1"/>
    </xf>
    <xf numFmtId="165" fontId="22" fillId="2" borderId="22" xfId="0" applyNumberFormat="1" applyFont="1" applyFill="1" applyBorder="1" applyAlignment="1">
      <alignment horizontal="center" vertical="center"/>
    </xf>
    <xf numFmtId="164" fontId="22" fillId="2" borderId="2" xfId="0" applyNumberFormat="1" applyFont="1" applyFill="1" applyBorder="1" applyAlignment="1">
      <alignment horizontal="center" vertical="center"/>
    </xf>
    <xf numFmtId="164" fontId="22" fillId="2" borderId="22" xfId="0" applyNumberFormat="1" applyFont="1" applyFill="1" applyBorder="1" applyAlignment="1">
      <alignment horizontal="center" vertical="center"/>
    </xf>
    <xf numFmtId="3" fontId="22" fillId="2" borderId="2" xfId="0" applyNumberFormat="1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164" fontId="10" fillId="0" borderId="57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0" fillId="0" borderId="0" xfId="0"/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13" fillId="6" borderId="15" xfId="0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164" fontId="17" fillId="7" borderId="16" xfId="0" applyNumberFormat="1" applyFont="1" applyFill="1" applyBorder="1" applyAlignment="1">
      <alignment horizontal="center" vertical="center"/>
    </xf>
    <xf numFmtId="164" fontId="17" fillId="7" borderId="17" xfId="0" applyNumberFormat="1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/>
    </xf>
    <xf numFmtId="0" fontId="13" fillId="6" borderId="18" xfId="0" applyFont="1" applyFill="1" applyBorder="1" applyAlignment="1">
      <alignment horizontal="center"/>
    </xf>
    <xf numFmtId="0" fontId="13" fillId="6" borderId="17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8" fillId="7" borderId="15" xfId="0" applyFont="1" applyFill="1" applyBorder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8" borderId="34" xfId="0" applyFont="1" applyFill="1" applyBorder="1" applyAlignment="1">
      <alignment horizontal="center" vertical="center"/>
    </xf>
    <xf numFmtId="0" fontId="14" fillId="8" borderId="35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top"/>
    </xf>
    <xf numFmtId="0" fontId="16" fillId="6" borderId="18" xfId="0" applyFont="1" applyFill="1" applyBorder="1" applyAlignment="1">
      <alignment horizontal="center" vertical="top"/>
    </xf>
    <xf numFmtId="0" fontId="16" fillId="6" borderId="17" xfId="0" applyFont="1" applyFill="1" applyBorder="1" applyAlignment="1">
      <alignment horizontal="center" vertical="top"/>
    </xf>
    <xf numFmtId="0" fontId="14" fillId="11" borderId="40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14" borderId="17" xfId="0" applyFill="1" applyBorder="1" applyAlignment="1">
      <alignment horizontal="center" vertical="center"/>
    </xf>
    <xf numFmtId="0" fontId="25" fillId="17" borderId="10" xfId="0" applyFont="1" applyFill="1" applyBorder="1" applyAlignment="1">
      <alignment horizontal="center"/>
    </xf>
    <xf numFmtId="0" fontId="25" fillId="17" borderId="12" xfId="0" applyFont="1" applyFill="1" applyBorder="1" applyAlignment="1">
      <alignment horizontal="center"/>
    </xf>
    <xf numFmtId="0" fontId="7" fillId="0" borderId="4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4" fillId="12" borderId="43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6" borderId="45" xfId="0" applyFont="1" applyFill="1" applyBorder="1" applyAlignment="1">
      <alignment horizontal="center" vertical="center"/>
    </xf>
    <xf numFmtId="0" fontId="14" fillId="12" borderId="44" xfId="0" applyFont="1" applyFill="1" applyBorder="1" applyAlignment="1">
      <alignment horizontal="center" vertical="center"/>
    </xf>
    <xf numFmtId="0" fontId="14" fillId="12" borderId="5" xfId="0" applyFont="1" applyFill="1" applyBorder="1" applyAlignment="1">
      <alignment horizontal="center" vertical="center"/>
    </xf>
    <xf numFmtId="0" fontId="14" fillId="6" borderId="41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164" fontId="12" fillId="7" borderId="16" xfId="0" applyNumberFormat="1" applyFont="1" applyFill="1" applyBorder="1" applyAlignment="1">
      <alignment horizontal="center" vertical="center"/>
    </xf>
    <xf numFmtId="164" fontId="12" fillId="7" borderId="17" xfId="0" applyNumberFormat="1" applyFont="1" applyFill="1" applyBorder="1" applyAlignment="1">
      <alignment horizontal="center" vertical="center"/>
    </xf>
    <xf numFmtId="164" fontId="10" fillId="18" borderId="6" xfId="0" applyNumberFormat="1" applyFont="1" applyFill="1" applyBorder="1" applyAlignment="1">
      <alignment horizontal="center" vertical="center"/>
    </xf>
    <xf numFmtId="164" fontId="10" fillId="18" borderId="7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3" fillId="6" borderId="19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4" borderId="13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4" fontId="19" fillId="2" borderId="52" xfId="0" applyNumberFormat="1" applyFont="1" applyFill="1" applyBorder="1" applyAlignment="1">
      <alignment horizontal="center" vertical="center"/>
    </xf>
    <xf numFmtId="4" fontId="19" fillId="2" borderId="53" xfId="0" applyNumberFormat="1" applyFont="1" applyFill="1" applyBorder="1" applyAlignment="1">
      <alignment horizontal="center" vertical="center"/>
    </xf>
    <xf numFmtId="4" fontId="19" fillId="2" borderId="54" xfId="0" applyNumberFormat="1" applyFont="1" applyFill="1" applyBorder="1" applyAlignment="1">
      <alignment horizontal="center" vertical="center"/>
    </xf>
    <xf numFmtId="4" fontId="19" fillId="2" borderId="51" xfId="0" applyNumberFormat="1" applyFont="1" applyFill="1" applyBorder="1" applyAlignment="1">
      <alignment horizontal="center" vertical="center"/>
    </xf>
    <xf numFmtId="4" fontId="19" fillId="2" borderId="55" xfId="0" applyNumberFormat="1" applyFont="1" applyFill="1" applyBorder="1" applyAlignment="1">
      <alignment horizontal="center" vertical="center"/>
    </xf>
    <xf numFmtId="4" fontId="19" fillId="2" borderId="56" xfId="0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>
      <alignment horizontal="center" vertical="center"/>
    </xf>
    <xf numFmtId="0" fontId="19" fillId="2" borderId="53" xfId="0" applyFont="1" applyFill="1" applyBorder="1" applyAlignment="1">
      <alignment horizontal="center" vertical="center"/>
    </xf>
    <xf numFmtId="3" fontId="19" fillId="2" borderId="54" xfId="0" applyNumberFormat="1" applyFont="1" applyFill="1" applyBorder="1" applyAlignment="1">
      <alignment horizontal="center" vertical="center"/>
    </xf>
    <xf numFmtId="3" fontId="19" fillId="2" borderId="51" xfId="0" applyNumberFormat="1" applyFont="1" applyFill="1" applyBorder="1" applyAlignment="1">
      <alignment horizontal="center" vertical="center"/>
    </xf>
    <xf numFmtId="4" fontId="10" fillId="18" borderId="6" xfId="0" applyNumberFormat="1" applyFont="1" applyFill="1" applyBorder="1" applyAlignment="1">
      <alignment horizontal="center" vertical="center"/>
    </xf>
    <xf numFmtId="4" fontId="10" fillId="18" borderId="7" xfId="0" applyNumberFormat="1" applyFont="1" applyFill="1" applyBorder="1" applyAlignment="1">
      <alignment horizontal="center" vertical="center"/>
    </xf>
    <xf numFmtId="164" fontId="10" fillId="18" borderId="10" xfId="0" applyNumberFormat="1" applyFont="1" applyFill="1" applyBorder="1" applyAlignment="1">
      <alignment horizontal="center" vertical="center"/>
    </xf>
    <xf numFmtId="164" fontId="10" fillId="18" borderId="12" xfId="0" applyNumberFormat="1" applyFont="1" applyFill="1" applyBorder="1" applyAlignment="1">
      <alignment horizontal="center" vertical="center"/>
    </xf>
    <xf numFmtId="164" fontId="12" fillId="3" borderId="16" xfId="0" applyNumberFormat="1" applyFont="1" applyFill="1" applyBorder="1" applyAlignment="1">
      <alignment horizontal="center" vertical="center"/>
    </xf>
    <xf numFmtId="164" fontId="12" fillId="3" borderId="17" xfId="0" applyNumberFormat="1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164" fontId="11" fillId="7" borderId="14" xfId="0" applyNumberFormat="1" applyFont="1" applyFill="1" applyBorder="1" applyAlignment="1">
      <alignment horizontal="center" vertical="center"/>
    </xf>
    <xf numFmtId="164" fontId="11" fillId="7" borderId="12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10" fillId="18" borderId="3" xfId="0" applyNumberFormat="1" applyFont="1" applyFill="1" applyBorder="1" applyAlignment="1">
      <alignment horizontal="center" vertical="center"/>
    </xf>
    <xf numFmtId="164" fontId="10" fillId="18" borderId="5" xfId="0" applyNumberFormat="1" applyFont="1" applyFill="1" applyBorder="1" applyAlignment="1">
      <alignment horizontal="center" vertical="center"/>
    </xf>
    <xf numFmtId="0" fontId="27" fillId="19" borderId="34" xfId="0" applyFont="1" applyFill="1" applyBorder="1" applyAlignment="1">
      <alignment horizontal="right" vertical="center" indent="1"/>
    </xf>
    <xf numFmtId="0" fontId="27" fillId="19" borderId="36" xfId="0" applyFont="1" applyFill="1" applyBorder="1" applyAlignment="1">
      <alignment horizontal="right" vertical="center" indent="1"/>
    </xf>
    <xf numFmtId="0" fontId="15" fillId="20" borderId="31" xfId="0" applyFont="1" applyFill="1" applyBorder="1" applyAlignment="1">
      <alignment horizontal="center" vertical="center"/>
    </xf>
    <xf numFmtId="0" fontId="15" fillId="20" borderId="32" xfId="0" applyFont="1" applyFill="1" applyBorder="1" applyAlignment="1">
      <alignment horizontal="center" vertical="center"/>
    </xf>
    <xf numFmtId="0" fontId="15" fillId="21" borderId="32" xfId="0" applyFont="1" applyFill="1" applyBorder="1" applyAlignment="1">
      <alignment horizontal="center" vertical="center"/>
    </xf>
    <xf numFmtId="0" fontId="15" fillId="14" borderId="33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/>
    </xf>
    <xf numFmtId="0" fontId="13" fillId="6" borderId="11" xfId="0" applyFont="1" applyFill="1" applyBorder="1" applyAlignment="1">
      <alignment horizontal="center"/>
    </xf>
    <xf numFmtId="0" fontId="13" fillId="6" borderId="12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2CC"/>
      <color rgb="FFFFC1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rightToLeft="1" tabSelected="1" zoomScale="85" zoomScaleNormal="85" workbookViewId="0">
      <selection activeCell="D14" sqref="D14"/>
    </sheetView>
  </sheetViews>
  <sheetFormatPr defaultColWidth="14.42578125" defaultRowHeight="15" customHeight="1" x14ac:dyDescent="0.25"/>
  <cols>
    <col min="1" max="1" width="71.28515625" customWidth="1"/>
    <col min="2" max="2" width="18" customWidth="1"/>
    <col min="3" max="3" width="18" style="3" customWidth="1"/>
    <col min="4" max="4" width="18" customWidth="1"/>
    <col min="5" max="5" width="12.5703125" bestFit="1" customWidth="1"/>
    <col min="6" max="6" width="14.28515625" bestFit="1" customWidth="1"/>
    <col min="7" max="8" width="12.42578125" bestFit="1" customWidth="1"/>
    <col min="9" max="11" width="8.7109375" customWidth="1"/>
  </cols>
  <sheetData>
    <row r="1" spans="1:5" ht="67.5" customHeight="1" thickBot="1" x14ac:dyDescent="0.3">
      <c r="A1" s="127" t="s">
        <v>104</v>
      </c>
      <c r="B1" s="128"/>
      <c r="C1" s="129"/>
      <c r="D1" s="2"/>
      <c r="E1" s="2"/>
    </row>
    <row r="2" spans="1:5" ht="15" customHeight="1" x14ac:dyDescent="0.25">
      <c r="A2" s="130"/>
      <c r="B2" s="131"/>
      <c r="C2" s="132"/>
    </row>
    <row r="3" spans="1:5" ht="15.75" thickBot="1" x14ac:dyDescent="0.3">
      <c r="A3" s="20" t="s">
        <v>0</v>
      </c>
      <c r="B3" s="21" t="s">
        <v>1</v>
      </c>
      <c r="C3" s="22" t="s">
        <v>2</v>
      </c>
    </row>
    <row r="4" spans="1:5" ht="24.75" customHeight="1" thickBot="1" x14ac:dyDescent="0.35">
      <c r="A4" s="120" t="s">
        <v>82</v>
      </c>
      <c r="B4" s="121"/>
      <c r="C4" s="122"/>
    </row>
    <row r="5" spans="1:5" x14ac:dyDescent="0.25">
      <c r="A5" s="7" t="s">
        <v>83</v>
      </c>
      <c r="B5" s="74">
        <v>250000</v>
      </c>
      <c r="C5" s="72" t="s">
        <v>3</v>
      </c>
    </row>
    <row r="6" spans="1:5" x14ac:dyDescent="0.25">
      <c r="A6" s="8" t="s">
        <v>4</v>
      </c>
      <c r="B6" s="67">
        <v>5</v>
      </c>
      <c r="C6" s="66" t="s">
        <v>5</v>
      </c>
    </row>
    <row r="7" spans="1:5" x14ac:dyDescent="0.25">
      <c r="A7" s="8" t="s">
        <v>6</v>
      </c>
      <c r="B7" s="68">
        <v>1500</v>
      </c>
      <c r="C7" s="66" t="s">
        <v>7</v>
      </c>
    </row>
    <row r="8" spans="1:5" x14ac:dyDescent="0.25">
      <c r="A8" s="8" t="s">
        <v>8</v>
      </c>
      <c r="B8" s="70">
        <v>130000</v>
      </c>
      <c r="C8" s="66" t="s">
        <v>3</v>
      </c>
    </row>
    <row r="9" spans="1:5" x14ac:dyDescent="0.25">
      <c r="A9" s="38" t="s">
        <v>85</v>
      </c>
      <c r="B9" s="73">
        <f>(B5-B8)/(B6*B7)</f>
        <v>16</v>
      </c>
      <c r="C9" s="37"/>
    </row>
    <row r="10" spans="1:5" ht="15" customHeight="1" thickBot="1" x14ac:dyDescent="0.3">
      <c r="A10" s="4"/>
      <c r="B10" s="123"/>
      <c r="C10" s="124"/>
    </row>
    <row r="11" spans="1:5" ht="21" thickBot="1" x14ac:dyDescent="0.3">
      <c r="A11" s="115" t="s">
        <v>81</v>
      </c>
      <c r="B11" s="116"/>
      <c r="C11" s="117"/>
    </row>
    <row r="12" spans="1:5" x14ac:dyDescent="0.25">
      <c r="A12" s="8" t="s">
        <v>9</v>
      </c>
      <c r="B12" s="76">
        <v>15</v>
      </c>
      <c r="C12" s="72" t="s">
        <v>10</v>
      </c>
    </row>
    <row r="13" spans="1:5" x14ac:dyDescent="0.25">
      <c r="A13" s="8" t="s">
        <v>11</v>
      </c>
      <c r="B13" s="70">
        <v>2.5</v>
      </c>
      <c r="C13" s="66" t="s">
        <v>12</v>
      </c>
    </row>
    <row r="14" spans="1:5" x14ac:dyDescent="0.25">
      <c r="A14" s="93" t="s">
        <v>86</v>
      </c>
      <c r="B14" s="94">
        <f>B12*B13</f>
        <v>37.5</v>
      </c>
      <c r="C14" s="95"/>
    </row>
    <row r="15" spans="1:5" x14ac:dyDescent="0.25">
      <c r="A15" s="7" t="s">
        <v>87</v>
      </c>
      <c r="B15" s="70">
        <v>25</v>
      </c>
      <c r="C15" s="66" t="s">
        <v>13</v>
      </c>
    </row>
    <row r="16" spans="1:5" x14ac:dyDescent="0.25">
      <c r="A16" s="8" t="s">
        <v>14</v>
      </c>
      <c r="B16" s="70">
        <v>20</v>
      </c>
      <c r="C16" s="66" t="s">
        <v>13</v>
      </c>
    </row>
    <row r="17" spans="1:8" x14ac:dyDescent="0.25">
      <c r="A17" s="8" t="s">
        <v>15</v>
      </c>
      <c r="B17" s="70">
        <v>45</v>
      </c>
      <c r="C17" s="66" t="s">
        <v>13</v>
      </c>
    </row>
    <row r="18" spans="1:8" x14ac:dyDescent="0.25">
      <c r="A18" s="93" t="s">
        <v>88</v>
      </c>
      <c r="B18" s="94">
        <f>B14+B15+B16+B17</f>
        <v>127.5</v>
      </c>
      <c r="C18" s="95"/>
    </row>
    <row r="19" spans="1:8" x14ac:dyDescent="0.25">
      <c r="A19" s="23" t="s">
        <v>89</v>
      </c>
      <c r="B19" s="75">
        <f>B18+B9</f>
        <v>143.5</v>
      </c>
      <c r="C19" s="10"/>
    </row>
    <row r="20" spans="1:8" ht="15.75" thickBot="1" x14ac:dyDescent="0.3">
      <c r="A20" s="64"/>
      <c r="B20" s="143"/>
      <c r="C20" s="144"/>
    </row>
    <row r="21" spans="1:8" ht="24.75" thickBot="1" x14ac:dyDescent="0.35">
      <c r="A21" s="120" t="s">
        <v>84</v>
      </c>
      <c r="B21" s="121"/>
      <c r="C21" s="122"/>
      <c r="E21" s="135" t="s">
        <v>103</v>
      </c>
      <c r="F21" s="136"/>
      <c r="G21" s="136"/>
      <c r="H21" s="137"/>
    </row>
    <row r="22" spans="1:8" ht="19.5" thickBot="1" x14ac:dyDescent="0.3">
      <c r="A22" s="7" t="s">
        <v>16</v>
      </c>
      <c r="B22" s="77">
        <f>C28</f>
        <v>6.9444444444444441E-3</v>
      </c>
      <c r="C22" s="72" t="s">
        <v>17</v>
      </c>
      <c r="E22" s="133" t="s">
        <v>91</v>
      </c>
      <c r="F22" s="134"/>
      <c r="G22" s="24" t="s">
        <v>92</v>
      </c>
      <c r="H22" s="25" t="s">
        <v>93</v>
      </c>
    </row>
    <row r="23" spans="1:8" ht="15.75" thickBot="1" x14ac:dyDescent="0.3">
      <c r="A23" s="8" t="s">
        <v>18</v>
      </c>
      <c r="B23" s="78">
        <v>10</v>
      </c>
      <c r="C23" s="66" t="s">
        <v>19</v>
      </c>
      <c r="E23" s="32">
        <v>240</v>
      </c>
      <c r="F23" s="33">
        <v>100</v>
      </c>
      <c r="G23" s="33">
        <v>700</v>
      </c>
      <c r="H23" s="26">
        <f>G23/(F23*E23)</f>
        <v>2.9166666666666667E-2</v>
      </c>
    </row>
    <row r="24" spans="1:8" ht="21.75" customHeight="1" thickBot="1" x14ac:dyDescent="0.3">
      <c r="A24" s="7" t="s">
        <v>90</v>
      </c>
      <c r="B24" s="78">
        <v>0</v>
      </c>
      <c r="C24" s="66" t="s">
        <v>20</v>
      </c>
      <c r="E24" s="140"/>
      <c r="F24" s="141"/>
      <c r="G24" s="141"/>
      <c r="H24" s="142"/>
    </row>
    <row r="25" spans="1:8" ht="19.5" thickBot="1" x14ac:dyDescent="0.3">
      <c r="A25" s="8" t="s">
        <v>21</v>
      </c>
      <c r="B25" s="78">
        <v>30</v>
      </c>
      <c r="C25" s="66" t="s">
        <v>19</v>
      </c>
      <c r="E25" s="27" t="s">
        <v>94</v>
      </c>
      <c r="F25" s="28" t="s">
        <v>95</v>
      </c>
      <c r="G25" s="138" t="s">
        <v>96</v>
      </c>
      <c r="H25" s="139"/>
    </row>
    <row r="26" spans="1:8" ht="15.75" customHeight="1" thickBot="1" x14ac:dyDescent="0.3">
      <c r="A26" s="204" t="s">
        <v>113</v>
      </c>
      <c r="B26" s="206">
        <v>240</v>
      </c>
      <c r="E26" s="34">
        <v>70</v>
      </c>
      <c r="F26" s="35">
        <v>70</v>
      </c>
      <c r="G26" s="145">
        <f>F26*E26*H23</f>
        <v>142.91666666666666</v>
      </c>
      <c r="H26" s="146"/>
    </row>
    <row r="27" spans="1:8" ht="19.5" thickBot="1" x14ac:dyDescent="0.3">
      <c r="A27" s="204" t="s">
        <v>114</v>
      </c>
      <c r="B27" s="208">
        <v>120</v>
      </c>
      <c r="E27" s="155"/>
      <c r="F27" s="156"/>
      <c r="G27" s="156"/>
      <c r="H27" s="157"/>
    </row>
    <row r="28" spans="1:8" ht="19.5" thickBot="1" x14ac:dyDescent="0.3">
      <c r="A28" s="205" t="s">
        <v>92</v>
      </c>
      <c r="B28" s="207">
        <v>200</v>
      </c>
      <c r="C28" s="209">
        <f>B28/(B27*B26)</f>
        <v>6.9444444444444441E-3</v>
      </c>
      <c r="E28" s="27" t="s">
        <v>97</v>
      </c>
      <c r="F28" s="28" t="s">
        <v>98</v>
      </c>
      <c r="G28" s="29" t="s">
        <v>99</v>
      </c>
      <c r="H28" s="30" t="s">
        <v>100</v>
      </c>
    </row>
    <row r="29" spans="1:8" ht="15.75" customHeight="1" thickBot="1" x14ac:dyDescent="0.35">
      <c r="A29" s="210" t="s">
        <v>40</v>
      </c>
      <c r="B29" s="211"/>
      <c r="C29" s="212"/>
      <c r="E29" s="34">
        <v>200</v>
      </c>
      <c r="F29" s="35">
        <v>30</v>
      </c>
      <c r="G29" s="31">
        <f>G26+((E29/60)*F29)</f>
        <v>242.91666666666666</v>
      </c>
      <c r="H29" s="36">
        <v>30</v>
      </c>
    </row>
    <row r="30" spans="1:8" ht="21" customHeight="1" thickBot="1" x14ac:dyDescent="0.3">
      <c r="A30" s="7" t="s">
        <v>94</v>
      </c>
      <c r="B30" s="79">
        <v>20</v>
      </c>
      <c r="C30" s="72" t="s">
        <v>105</v>
      </c>
      <c r="E30" s="155"/>
      <c r="F30" s="156"/>
      <c r="G30" s="156"/>
      <c r="H30" s="157"/>
    </row>
    <row r="31" spans="1:8" ht="18.75" x14ac:dyDescent="0.25">
      <c r="A31" s="41" t="s">
        <v>95</v>
      </c>
      <c r="B31" s="80">
        <v>20</v>
      </c>
      <c r="C31" s="66" t="s">
        <v>105</v>
      </c>
      <c r="E31" s="147" t="s">
        <v>101</v>
      </c>
      <c r="F31" s="148"/>
      <c r="G31" s="151" t="s">
        <v>102</v>
      </c>
      <c r="H31" s="152"/>
    </row>
    <row r="32" spans="1:8" ht="21" customHeight="1" thickBot="1" x14ac:dyDescent="0.3">
      <c r="A32" s="41" t="s">
        <v>96</v>
      </c>
      <c r="B32" s="80">
        <f>B22*B30*B31</f>
        <v>2.7777777777777777</v>
      </c>
      <c r="C32" s="66" t="s">
        <v>106</v>
      </c>
      <c r="E32" s="149">
        <f>G29+((G29/100)*H29)</f>
        <v>315.79166666666663</v>
      </c>
      <c r="F32" s="150"/>
      <c r="G32" s="153">
        <f>E32+((E32/100)*15)</f>
        <v>363.16041666666661</v>
      </c>
      <c r="H32" s="154"/>
    </row>
    <row r="33" spans="1:3" ht="15.75" customHeight="1" x14ac:dyDescent="0.25">
      <c r="A33" s="8" t="s">
        <v>22</v>
      </c>
      <c r="B33" s="80">
        <v>0.5</v>
      </c>
      <c r="C33" s="66" t="s">
        <v>23</v>
      </c>
    </row>
    <row r="34" spans="1:3" x14ac:dyDescent="0.25">
      <c r="A34" s="8" t="s">
        <v>24</v>
      </c>
      <c r="B34" s="81">
        <v>1</v>
      </c>
      <c r="C34" s="66" t="s">
        <v>25</v>
      </c>
    </row>
    <row r="35" spans="1:3" ht="15.75" thickBot="1" x14ac:dyDescent="0.3">
      <c r="A35" s="4"/>
      <c r="B35" s="50"/>
      <c r="C35" s="51"/>
    </row>
    <row r="36" spans="1:3" ht="21" thickBot="1" x14ac:dyDescent="0.35">
      <c r="A36" s="17" t="s">
        <v>26</v>
      </c>
      <c r="B36" s="18"/>
      <c r="C36" s="19"/>
    </row>
    <row r="37" spans="1:3" x14ac:dyDescent="0.25">
      <c r="A37" s="8" t="s">
        <v>27</v>
      </c>
      <c r="B37" s="84">
        <f>(B32*B34)*(1+(B23/100))</f>
        <v>3.0555555555555558</v>
      </c>
      <c r="C37" s="85"/>
    </row>
    <row r="38" spans="1:3" x14ac:dyDescent="0.25">
      <c r="A38" s="8" t="s">
        <v>28</v>
      </c>
      <c r="B38" s="86">
        <f>B33*B34</f>
        <v>0.5</v>
      </c>
      <c r="C38" s="87"/>
    </row>
    <row r="39" spans="1:3" x14ac:dyDescent="0.25">
      <c r="A39" s="8" t="s">
        <v>29</v>
      </c>
      <c r="B39" s="84">
        <f>B38*B9</f>
        <v>8</v>
      </c>
      <c r="C39" s="85"/>
    </row>
    <row r="40" spans="1:3" x14ac:dyDescent="0.25">
      <c r="A40" s="8" t="s">
        <v>30</v>
      </c>
      <c r="B40" s="84">
        <f>B38*B18</f>
        <v>63.75</v>
      </c>
      <c r="C40" s="85"/>
    </row>
    <row r="41" spans="1:3" ht="5.25" customHeight="1" thickBot="1" x14ac:dyDescent="0.3">
      <c r="A41" s="8" t="s">
        <v>31</v>
      </c>
      <c r="B41" s="82">
        <f>B37+B40+B39+B24</f>
        <v>74.805555555555557</v>
      </c>
      <c r="C41" s="83"/>
    </row>
    <row r="42" spans="1:3" x14ac:dyDescent="0.25">
      <c r="A42" s="11"/>
      <c r="B42" s="12"/>
      <c r="C42" s="13"/>
    </row>
    <row r="43" spans="1:3" ht="15.75" customHeight="1" thickBot="1" x14ac:dyDescent="0.3">
      <c r="A43" s="14"/>
      <c r="B43" s="15"/>
      <c r="C43" s="16"/>
    </row>
    <row r="44" spans="1:3" ht="15.75" customHeight="1" thickBot="1" x14ac:dyDescent="0.35">
      <c r="A44" s="9" t="s">
        <v>32</v>
      </c>
      <c r="B44" s="39">
        <f>B41*(1+(B25/100))</f>
        <v>97.247222222222234</v>
      </c>
      <c r="C44" s="40"/>
    </row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8">
    <mergeCell ref="G26:H26"/>
    <mergeCell ref="E31:F31"/>
    <mergeCell ref="E32:F32"/>
    <mergeCell ref="G31:H31"/>
    <mergeCell ref="G32:H32"/>
    <mergeCell ref="E27:H27"/>
    <mergeCell ref="E30:H30"/>
    <mergeCell ref="A1:C1"/>
    <mergeCell ref="A2:C2"/>
    <mergeCell ref="E22:F22"/>
    <mergeCell ref="E21:H21"/>
    <mergeCell ref="G25:H25"/>
    <mergeCell ref="E24:H24"/>
    <mergeCell ref="B20:C20"/>
    <mergeCell ref="B10:C10"/>
    <mergeCell ref="A4:C4"/>
    <mergeCell ref="A21:C21"/>
    <mergeCell ref="A11:C1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rightToLeft="1" topLeftCell="A7" workbookViewId="0">
      <selection activeCell="E11" sqref="E11"/>
    </sheetView>
  </sheetViews>
  <sheetFormatPr defaultColWidth="14.42578125" defaultRowHeight="15" customHeight="1" x14ac:dyDescent="0.25"/>
  <cols>
    <col min="1" max="1" width="70.140625" customWidth="1"/>
    <col min="2" max="2" width="24.7109375" customWidth="1"/>
    <col min="3" max="3" width="26.140625" customWidth="1"/>
    <col min="4" max="4" width="17.85546875" customWidth="1"/>
    <col min="5" max="5" width="12.85546875" customWidth="1"/>
    <col min="6" max="11" width="8.7109375" customWidth="1"/>
  </cols>
  <sheetData>
    <row r="1" spans="1:5" ht="38.25" customHeight="1" thickBot="1" x14ac:dyDescent="0.3">
      <c r="A1" s="158" t="s">
        <v>107</v>
      </c>
      <c r="B1" s="159"/>
      <c r="C1" s="160"/>
      <c r="D1" s="43"/>
      <c r="E1" s="43"/>
    </row>
    <row r="2" spans="1:5" ht="15" customHeight="1" x14ac:dyDescent="0.25">
      <c r="A2" s="112"/>
      <c r="B2" s="113"/>
      <c r="C2" s="114"/>
    </row>
    <row r="3" spans="1:5" ht="15.75" thickBot="1" x14ac:dyDescent="0.3">
      <c r="A3" s="20" t="s">
        <v>0</v>
      </c>
      <c r="B3" s="21" t="s">
        <v>1</v>
      </c>
      <c r="C3" s="48" t="s">
        <v>2</v>
      </c>
    </row>
    <row r="4" spans="1:5" ht="27" customHeight="1" thickBot="1" x14ac:dyDescent="0.3">
      <c r="A4" s="115" t="s">
        <v>33</v>
      </c>
      <c r="B4" s="116"/>
      <c r="C4" s="117"/>
    </row>
    <row r="5" spans="1:5" x14ac:dyDescent="0.25">
      <c r="A5" s="7" t="s">
        <v>34</v>
      </c>
      <c r="B5" s="69">
        <v>2.5</v>
      </c>
      <c r="C5" s="66" t="s">
        <v>35</v>
      </c>
    </row>
    <row r="6" spans="1:5" x14ac:dyDescent="0.25">
      <c r="A6" s="8" t="s">
        <v>36</v>
      </c>
      <c r="B6" s="70">
        <v>50</v>
      </c>
      <c r="C6" s="66" t="s">
        <v>13</v>
      </c>
    </row>
    <row r="7" spans="1:5" x14ac:dyDescent="0.25">
      <c r="A7" s="8" t="s">
        <v>37</v>
      </c>
      <c r="B7" s="70">
        <v>20</v>
      </c>
      <c r="C7" s="66" t="s">
        <v>38</v>
      </c>
    </row>
    <row r="8" spans="1:5" x14ac:dyDescent="0.25">
      <c r="A8" s="8" t="s">
        <v>39</v>
      </c>
      <c r="B8" s="70">
        <v>0</v>
      </c>
      <c r="C8" s="66" t="s">
        <v>20</v>
      </c>
    </row>
    <row r="9" spans="1:5" x14ac:dyDescent="0.25">
      <c r="A9" s="8" t="s">
        <v>21</v>
      </c>
      <c r="B9" s="71">
        <v>0.3</v>
      </c>
      <c r="C9" s="66" t="s">
        <v>19</v>
      </c>
    </row>
    <row r="10" spans="1:5" ht="15" customHeight="1" thickBot="1" x14ac:dyDescent="0.3">
      <c r="A10" s="4"/>
      <c r="B10" s="165"/>
      <c r="C10" s="166"/>
    </row>
    <row r="11" spans="1:5" ht="27" customHeight="1" thickBot="1" x14ac:dyDescent="0.3">
      <c r="A11" s="115" t="s">
        <v>40</v>
      </c>
      <c r="B11" s="116"/>
      <c r="C11" s="117"/>
    </row>
    <row r="12" spans="1:5" x14ac:dyDescent="0.25">
      <c r="A12" s="7" t="s">
        <v>108</v>
      </c>
      <c r="B12" s="65">
        <v>100</v>
      </c>
      <c r="C12" s="66" t="s">
        <v>41</v>
      </c>
    </row>
    <row r="13" spans="1:5" x14ac:dyDescent="0.25">
      <c r="A13" s="8" t="s">
        <v>42</v>
      </c>
      <c r="B13" s="67">
        <v>2</v>
      </c>
      <c r="C13" s="66" t="s">
        <v>23</v>
      </c>
    </row>
    <row r="14" spans="1:5" x14ac:dyDescent="0.25">
      <c r="A14" s="8" t="s">
        <v>24</v>
      </c>
      <c r="B14" s="68">
        <v>1</v>
      </c>
      <c r="C14" s="66" t="s">
        <v>25</v>
      </c>
    </row>
    <row r="15" spans="1:5" ht="15" customHeight="1" thickBot="1" x14ac:dyDescent="0.3">
      <c r="A15" s="4"/>
      <c r="B15" s="123"/>
      <c r="C15" s="124"/>
    </row>
    <row r="16" spans="1:5" ht="27" customHeight="1" thickBot="1" x14ac:dyDescent="0.3">
      <c r="A16" s="115" t="s">
        <v>26</v>
      </c>
      <c r="B16" s="116"/>
      <c r="C16" s="117"/>
    </row>
    <row r="17" spans="1:3" x14ac:dyDescent="0.25">
      <c r="A17" s="8" t="s">
        <v>43</v>
      </c>
      <c r="B17" s="163">
        <f>B12*B5*B14</f>
        <v>250</v>
      </c>
      <c r="C17" s="164"/>
    </row>
    <row r="18" spans="1:3" x14ac:dyDescent="0.25">
      <c r="A18" s="8" t="s">
        <v>44</v>
      </c>
      <c r="B18" s="163">
        <f>B13*B6*B14</f>
        <v>100</v>
      </c>
      <c r="C18" s="164"/>
    </row>
    <row r="19" spans="1:3" x14ac:dyDescent="0.25">
      <c r="A19" s="8" t="s">
        <v>45</v>
      </c>
      <c r="B19" s="163">
        <f>B7*B14</f>
        <v>20</v>
      </c>
      <c r="C19" s="164"/>
    </row>
    <row r="20" spans="1:3" x14ac:dyDescent="0.25">
      <c r="A20" s="8" t="s">
        <v>46</v>
      </c>
      <c r="B20" s="163">
        <f>B17+B18+B19+B8</f>
        <v>370</v>
      </c>
      <c r="C20" s="164"/>
    </row>
    <row r="21" spans="1:3" ht="15.75" customHeight="1" thickBot="1" x14ac:dyDescent="0.3">
      <c r="A21" s="4"/>
      <c r="B21" s="125"/>
      <c r="C21" s="126"/>
    </row>
    <row r="22" spans="1:3" ht="32.25" customHeight="1" thickBot="1" x14ac:dyDescent="0.3">
      <c r="A22" s="49" t="s">
        <v>32</v>
      </c>
      <c r="B22" s="161">
        <f>B20*(1+B9)</f>
        <v>481</v>
      </c>
      <c r="C22" s="162"/>
    </row>
    <row r="23" spans="1:3" ht="15.75" customHeight="1" x14ac:dyDescent="0.25"/>
    <row r="24" spans="1:3" ht="15" customHeight="1" x14ac:dyDescent="0.25">
      <c r="A24" s="42"/>
    </row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3">
    <mergeCell ref="B22:C22"/>
    <mergeCell ref="A2:C2"/>
    <mergeCell ref="B17:C17"/>
    <mergeCell ref="B18:C18"/>
    <mergeCell ref="B19:C19"/>
    <mergeCell ref="B20:C20"/>
    <mergeCell ref="B10:C10"/>
    <mergeCell ref="B15:C15"/>
    <mergeCell ref="B21:C21"/>
    <mergeCell ref="A1:C1"/>
    <mergeCell ref="A4:C4"/>
    <mergeCell ref="A11:C11"/>
    <mergeCell ref="A16:C16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"/>
  <sheetViews>
    <sheetView rightToLeft="1" workbookViewId="0">
      <selection activeCell="D8" sqref="D8"/>
    </sheetView>
  </sheetViews>
  <sheetFormatPr defaultColWidth="14.42578125" defaultRowHeight="15" customHeight="1" x14ac:dyDescent="0.25"/>
  <cols>
    <col min="1" max="1" width="69.7109375" customWidth="1"/>
    <col min="2" max="4" width="18" customWidth="1"/>
    <col min="5" max="5" width="40" customWidth="1"/>
    <col min="6" max="11" width="8.7109375" customWidth="1"/>
  </cols>
  <sheetData>
    <row r="1" spans="1:5" ht="30" customHeight="1" x14ac:dyDescent="0.25">
      <c r="A1" s="167" t="s">
        <v>68</v>
      </c>
      <c r="B1" s="168"/>
      <c r="C1" s="169"/>
      <c r="D1" s="43"/>
      <c r="E1" s="43"/>
    </row>
    <row r="2" spans="1:5" ht="15" customHeight="1" x14ac:dyDescent="0.25">
      <c r="A2" s="112"/>
      <c r="B2" s="113"/>
      <c r="C2" s="114"/>
    </row>
    <row r="3" spans="1:5" x14ac:dyDescent="0.25">
      <c r="A3" s="6" t="s">
        <v>0</v>
      </c>
      <c r="B3" s="1" t="s">
        <v>1</v>
      </c>
      <c r="C3" s="47" t="s">
        <v>2</v>
      </c>
    </row>
    <row r="4" spans="1:5" ht="27" customHeight="1" thickBot="1" x14ac:dyDescent="0.3">
      <c r="A4" s="170" t="s">
        <v>69</v>
      </c>
      <c r="B4" s="171"/>
      <c r="C4" s="172"/>
    </row>
    <row r="5" spans="1:5" x14ac:dyDescent="0.25">
      <c r="A5" s="8" t="s">
        <v>70</v>
      </c>
      <c r="B5" s="74">
        <v>200</v>
      </c>
      <c r="C5" s="90" t="s">
        <v>13</v>
      </c>
    </row>
    <row r="6" spans="1:5" ht="15.75" thickBot="1" x14ac:dyDescent="0.3">
      <c r="A6" s="8" t="s">
        <v>21</v>
      </c>
      <c r="B6" s="91">
        <v>0.2</v>
      </c>
      <c r="C6" s="92" t="s">
        <v>19</v>
      </c>
    </row>
    <row r="7" spans="1:5" ht="15" customHeight="1" thickBot="1" x14ac:dyDescent="0.3">
      <c r="A7" s="173"/>
      <c r="B7" s="174"/>
      <c r="C7" s="175"/>
    </row>
    <row r="8" spans="1:5" ht="27" customHeight="1" thickBot="1" x14ac:dyDescent="0.3">
      <c r="A8" s="115" t="s">
        <v>109</v>
      </c>
      <c r="B8" s="116"/>
      <c r="C8" s="117"/>
    </row>
    <row r="9" spans="1:5" ht="15.75" thickBot="1" x14ac:dyDescent="0.3">
      <c r="A9" s="53" t="s">
        <v>71</v>
      </c>
      <c r="B9" s="177" t="s">
        <v>72</v>
      </c>
      <c r="C9" s="178"/>
    </row>
    <row r="10" spans="1:5" ht="17.25" customHeight="1" x14ac:dyDescent="0.25">
      <c r="A10" s="7" t="s">
        <v>73</v>
      </c>
      <c r="B10" s="179">
        <v>2</v>
      </c>
      <c r="C10" s="180"/>
    </row>
    <row r="11" spans="1:5" ht="22.5" customHeight="1" x14ac:dyDescent="0.25">
      <c r="A11" s="7" t="s">
        <v>74</v>
      </c>
      <c r="B11" s="181">
        <v>4</v>
      </c>
      <c r="C11" s="182"/>
    </row>
    <row r="12" spans="1:5" ht="19.5" customHeight="1" x14ac:dyDescent="0.25">
      <c r="A12" s="7" t="s">
        <v>75</v>
      </c>
      <c r="B12" s="181">
        <v>8</v>
      </c>
      <c r="C12" s="182"/>
    </row>
    <row r="13" spans="1:5" ht="15.75" thickBot="1" x14ac:dyDescent="0.3">
      <c r="A13" s="7" t="s">
        <v>76</v>
      </c>
      <c r="B13" s="183">
        <v>15</v>
      </c>
      <c r="C13" s="184"/>
    </row>
    <row r="14" spans="1:5" ht="15" customHeight="1" thickBot="1" x14ac:dyDescent="0.3">
      <c r="A14" s="123"/>
      <c r="B14" s="176"/>
      <c r="C14" s="124"/>
    </row>
    <row r="15" spans="1:5" ht="27" customHeight="1" thickBot="1" x14ac:dyDescent="0.3">
      <c r="A15" s="115" t="s">
        <v>40</v>
      </c>
      <c r="B15" s="116"/>
      <c r="C15" s="117"/>
    </row>
    <row r="16" spans="1:5" ht="22.5" customHeight="1" x14ac:dyDescent="0.25">
      <c r="A16" s="7" t="s">
        <v>110</v>
      </c>
      <c r="B16" s="185" t="s">
        <v>76</v>
      </c>
      <c r="C16" s="186"/>
    </row>
    <row r="17" spans="1:5" ht="22.5" customHeight="1" x14ac:dyDescent="0.25">
      <c r="A17" s="8" t="s">
        <v>77</v>
      </c>
      <c r="B17" s="187">
        <v>2</v>
      </c>
      <c r="C17" s="188"/>
    </row>
    <row r="18" spans="1:5" ht="15.75" thickBot="1" x14ac:dyDescent="0.3">
      <c r="A18" s="7" t="s">
        <v>111</v>
      </c>
      <c r="B18" s="88">
        <v>0.3</v>
      </c>
      <c r="C18" s="89" t="s">
        <v>19</v>
      </c>
    </row>
    <row r="19" spans="1:5" ht="15" customHeight="1" thickBot="1" x14ac:dyDescent="0.3">
      <c r="A19" s="173"/>
      <c r="B19" s="174"/>
      <c r="C19" s="175"/>
    </row>
    <row r="20" spans="1:5" ht="27" customHeight="1" thickBot="1" x14ac:dyDescent="0.3">
      <c r="A20" s="115" t="s">
        <v>26</v>
      </c>
      <c r="B20" s="116"/>
      <c r="C20" s="117"/>
    </row>
    <row r="21" spans="1:5" ht="15.75" customHeight="1" x14ac:dyDescent="0.25">
      <c r="A21" s="8" t="s">
        <v>78</v>
      </c>
      <c r="B21" s="189">
        <f t="array" ref="B21">IFERROR(INDEX(B10:B13,MATCH(B16,A10:A13,0)),0)</f>
        <v>15</v>
      </c>
      <c r="C21" s="190"/>
    </row>
    <row r="22" spans="1:5" ht="15.75" customHeight="1" x14ac:dyDescent="0.25">
      <c r="A22" s="8" t="s">
        <v>79</v>
      </c>
      <c r="B22" s="189">
        <f>B21*B17</f>
        <v>30</v>
      </c>
      <c r="C22" s="190"/>
    </row>
    <row r="23" spans="1:5" ht="15.75" customHeight="1" x14ac:dyDescent="0.25">
      <c r="A23" s="7" t="s">
        <v>112</v>
      </c>
      <c r="B23" s="163">
        <f>B22*B5</f>
        <v>6000</v>
      </c>
      <c r="C23" s="164"/>
    </row>
    <row r="24" spans="1:5" ht="15.75" customHeight="1" thickBot="1" x14ac:dyDescent="0.3">
      <c r="A24" s="8" t="s">
        <v>80</v>
      </c>
      <c r="B24" s="191">
        <f>B23*(1+B18)</f>
        <v>7800</v>
      </c>
      <c r="C24" s="192"/>
    </row>
    <row r="25" spans="1:5" ht="15.75" customHeight="1" thickBot="1" x14ac:dyDescent="0.3">
      <c r="A25" s="173"/>
      <c r="B25" s="174"/>
      <c r="C25" s="175"/>
    </row>
    <row r="26" spans="1:5" ht="31.5" customHeight="1" thickBot="1" x14ac:dyDescent="0.3">
      <c r="A26" s="52" t="s">
        <v>32</v>
      </c>
      <c r="B26" s="193">
        <f>B24*(1+B6)</f>
        <v>9360</v>
      </c>
      <c r="C26" s="194"/>
    </row>
    <row r="27" spans="1:5" ht="15" customHeight="1" x14ac:dyDescent="0.25">
      <c r="A27" s="110"/>
      <c r="B27" s="111"/>
      <c r="C27" s="111"/>
      <c r="D27" s="111"/>
      <c r="E27" s="111"/>
    </row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23">
    <mergeCell ref="A27:E27"/>
    <mergeCell ref="B9:C9"/>
    <mergeCell ref="A15:C15"/>
    <mergeCell ref="A8:C8"/>
    <mergeCell ref="B10:C10"/>
    <mergeCell ref="B11:C11"/>
    <mergeCell ref="B12:C12"/>
    <mergeCell ref="B13:C13"/>
    <mergeCell ref="B16:C16"/>
    <mergeCell ref="B17:C17"/>
    <mergeCell ref="B21:C21"/>
    <mergeCell ref="B22:C22"/>
    <mergeCell ref="B23:C23"/>
    <mergeCell ref="B24:C24"/>
    <mergeCell ref="B26:C26"/>
    <mergeCell ref="A25:C25"/>
    <mergeCell ref="A1:C1"/>
    <mergeCell ref="A4:C4"/>
    <mergeCell ref="A20:C20"/>
    <mergeCell ref="A19:C19"/>
    <mergeCell ref="A14:C14"/>
    <mergeCell ref="A7:C7"/>
    <mergeCell ref="A2:C2"/>
  </mergeCells>
  <dataValidations count="1">
    <dataValidation type="list" allowBlank="1" showInputMessage="1" showErrorMessage="1" sqref="B16:C16" xr:uid="{FDFD2E81-35B3-44BC-841B-F5172BDF78A6}">
      <formula1>$A$10:$A$13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"/>
  <sheetViews>
    <sheetView rightToLeft="1" workbookViewId="0">
      <selection activeCell="D19" sqref="D19"/>
    </sheetView>
  </sheetViews>
  <sheetFormatPr defaultColWidth="14.42578125" defaultRowHeight="15" customHeight="1" x14ac:dyDescent="0.25"/>
  <cols>
    <col min="1" max="1" width="61.85546875" customWidth="1"/>
    <col min="2" max="4" width="18" customWidth="1"/>
    <col min="5" max="5" width="40" customWidth="1"/>
    <col min="6" max="11" width="8.7109375" customWidth="1"/>
  </cols>
  <sheetData>
    <row r="1" spans="1:5" ht="33" customHeight="1" x14ac:dyDescent="0.25">
      <c r="A1" s="195" t="s">
        <v>57</v>
      </c>
      <c r="B1" s="196"/>
      <c r="C1" s="197"/>
      <c r="D1" s="43"/>
      <c r="E1" s="43"/>
    </row>
    <row r="2" spans="1:5" ht="15" customHeight="1" x14ac:dyDescent="0.25">
      <c r="A2" s="112"/>
      <c r="B2" s="113"/>
      <c r="C2" s="114"/>
    </row>
    <row r="3" spans="1:5" ht="15.75" thickBot="1" x14ac:dyDescent="0.3">
      <c r="A3" s="20" t="s">
        <v>0</v>
      </c>
      <c r="B3" s="21" t="s">
        <v>1</v>
      </c>
      <c r="C3" s="48" t="s">
        <v>2</v>
      </c>
    </row>
    <row r="4" spans="1:5" ht="27" customHeight="1" thickBot="1" x14ac:dyDescent="0.3">
      <c r="A4" s="115" t="s">
        <v>33</v>
      </c>
      <c r="B4" s="116"/>
      <c r="C4" s="117"/>
    </row>
    <row r="5" spans="1:5" x14ac:dyDescent="0.25">
      <c r="A5" s="8" t="s">
        <v>58</v>
      </c>
      <c r="B5" s="62">
        <v>300</v>
      </c>
      <c r="C5" s="54" t="s">
        <v>13</v>
      </c>
    </row>
    <row r="6" spans="1:5" x14ac:dyDescent="0.25">
      <c r="A6" s="8" t="s">
        <v>59</v>
      </c>
      <c r="B6" s="63">
        <v>200</v>
      </c>
      <c r="C6" s="55" t="s">
        <v>13</v>
      </c>
    </row>
    <row r="7" spans="1:5" x14ac:dyDescent="0.25">
      <c r="A7" s="8" t="s">
        <v>60</v>
      </c>
      <c r="B7" s="63">
        <v>500</v>
      </c>
      <c r="C7" s="55" t="s">
        <v>61</v>
      </c>
    </row>
    <row r="8" spans="1:5" x14ac:dyDescent="0.25">
      <c r="A8" s="8" t="s">
        <v>21</v>
      </c>
      <c r="B8" s="56">
        <v>0.3</v>
      </c>
      <c r="C8" s="55" t="s">
        <v>19</v>
      </c>
    </row>
    <row r="9" spans="1:5" ht="15" customHeight="1" thickBot="1" x14ac:dyDescent="0.3">
      <c r="A9" s="4"/>
      <c r="B9" s="200"/>
      <c r="C9" s="201"/>
    </row>
    <row r="10" spans="1:5" ht="27" customHeight="1" thickBot="1" x14ac:dyDescent="0.3">
      <c r="A10" s="115" t="s">
        <v>40</v>
      </c>
      <c r="B10" s="116"/>
      <c r="C10" s="117"/>
    </row>
    <row r="11" spans="1:5" x14ac:dyDescent="0.25">
      <c r="A11" s="8" t="s">
        <v>62</v>
      </c>
      <c r="B11" s="60">
        <v>1</v>
      </c>
      <c r="C11" s="54" t="s">
        <v>23</v>
      </c>
    </row>
    <row r="12" spans="1:5" x14ac:dyDescent="0.25">
      <c r="A12" s="8" t="s">
        <v>63</v>
      </c>
      <c r="B12" s="61">
        <v>2</v>
      </c>
      <c r="C12" s="55" t="s">
        <v>23</v>
      </c>
    </row>
    <row r="13" spans="1:5" x14ac:dyDescent="0.25">
      <c r="A13" s="8" t="s">
        <v>64</v>
      </c>
      <c r="B13" s="57">
        <v>1</v>
      </c>
      <c r="C13" s="55"/>
    </row>
    <row r="14" spans="1:5" ht="15" customHeight="1" thickBot="1" x14ac:dyDescent="0.3">
      <c r="A14" s="4"/>
      <c r="B14" s="200"/>
      <c r="C14" s="201"/>
    </row>
    <row r="15" spans="1:5" ht="27" customHeight="1" thickBot="1" x14ac:dyDescent="0.3">
      <c r="A15" s="115" t="s">
        <v>26</v>
      </c>
      <c r="B15" s="116"/>
      <c r="C15" s="117"/>
    </row>
    <row r="16" spans="1:5" x14ac:dyDescent="0.25">
      <c r="A16" s="8" t="s">
        <v>65</v>
      </c>
      <c r="B16" s="202">
        <f t="shared" ref="B16:B18" si="0">B11*B5</f>
        <v>300</v>
      </c>
      <c r="C16" s="203"/>
    </row>
    <row r="17" spans="1:5" x14ac:dyDescent="0.25">
      <c r="A17" s="8" t="s">
        <v>66</v>
      </c>
      <c r="B17" s="163">
        <f t="shared" si="0"/>
        <v>400</v>
      </c>
      <c r="C17" s="164"/>
    </row>
    <row r="18" spans="1:5" x14ac:dyDescent="0.25">
      <c r="A18" s="8" t="s">
        <v>67</v>
      </c>
      <c r="B18" s="163">
        <f t="shared" si="0"/>
        <v>500</v>
      </c>
      <c r="C18" s="164"/>
    </row>
    <row r="19" spans="1:5" ht="15.75" thickBot="1" x14ac:dyDescent="0.3">
      <c r="A19" s="8" t="s">
        <v>46</v>
      </c>
      <c r="B19" s="191">
        <f>B16+B17+B18</f>
        <v>1200</v>
      </c>
      <c r="C19" s="192"/>
    </row>
    <row r="20" spans="1:5" s="58" customFormat="1" ht="39.75" customHeight="1" thickBot="1" x14ac:dyDescent="0.45">
      <c r="A20" s="59" t="s">
        <v>32</v>
      </c>
      <c r="B20" s="198">
        <f>B19*(1+B8)</f>
        <v>1560</v>
      </c>
      <c r="C20" s="199"/>
    </row>
    <row r="21" spans="1:5" ht="15.75" customHeight="1" x14ac:dyDescent="0.25"/>
    <row r="22" spans="1:5" ht="15" customHeight="1" x14ac:dyDescent="0.25">
      <c r="A22" s="110"/>
      <c r="B22" s="111"/>
      <c r="C22" s="111"/>
      <c r="D22" s="111"/>
      <c r="E22" s="111"/>
    </row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3">
    <mergeCell ref="A22:E22"/>
    <mergeCell ref="A1:C1"/>
    <mergeCell ref="A2:C2"/>
    <mergeCell ref="A4:C4"/>
    <mergeCell ref="A10:C10"/>
    <mergeCell ref="A15:C15"/>
    <mergeCell ref="B20:C20"/>
    <mergeCell ref="B9:C9"/>
    <mergeCell ref="B14:C14"/>
    <mergeCell ref="B16:C16"/>
    <mergeCell ref="B17:C17"/>
    <mergeCell ref="B18:C18"/>
    <mergeCell ref="B19:C19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"/>
  <sheetViews>
    <sheetView rightToLeft="1" workbookViewId="0">
      <selection activeCell="A16" sqref="A16"/>
    </sheetView>
  </sheetViews>
  <sheetFormatPr defaultColWidth="14.42578125" defaultRowHeight="15" customHeight="1" x14ac:dyDescent="0.25"/>
  <cols>
    <col min="1" max="1" width="59.28515625" customWidth="1"/>
    <col min="2" max="2" width="19" bestFit="1" customWidth="1"/>
    <col min="3" max="4" width="18" customWidth="1"/>
    <col min="5" max="5" width="40" customWidth="1"/>
    <col min="6" max="11" width="8.7109375" customWidth="1"/>
  </cols>
  <sheetData>
    <row r="1" spans="1:5" ht="32.25" customHeight="1" x14ac:dyDescent="0.25">
      <c r="A1" s="101" t="s">
        <v>47</v>
      </c>
      <c r="B1" s="102"/>
      <c r="C1" s="103"/>
      <c r="D1" s="43"/>
      <c r="E1" s="43"/>
    </row>
    <row r="2" spans="1:5" ht="15" customHeight="1" x14ac:dyDescent="0.25">
      <c r="A2" s="112"/>
      <c r="B2" s="113"/>
      <c r="C2" s="114"/>
    </row>
    <row r="3" spans="1:5" ht="15.75" thickBot="1" x14ac:dyDescent="0.3">
      <c r="A3" s="20" t="s">
        <v>0</v>
      </c>
      <c r="B3" s="21" t="s">
        <v>1</v>
      </c>
      <c r="C3" s="48" t="s">
        <v>2</v>
      </c>
    </row>
    <row r="4" spans="1:5" ht="27" customHeight="1" thickBot="1" x14ac:dyDescent="0.3">
      <c r="A4" s="115" t="s">
        <v>48</v>
      </c>
      <c r="B4" s="116"/>
      <c r="C4" s="117"/>
    </row>
    <row r="5" spans="1:5" x14ac:dyDescent="0.25">
      <c r="A5" s="8" t="s">
        <v>49</v>
      </c>
      <c r="B5" s="97">
        <v>0.25</v>
      </c>
      <c r="C5" s="55" t="s">
        <v>19</v>
      </c>
    </row>
    <row r="6" spans="1:5" x14ac:dyDescent="0.25">
      <c r="A6" s="8" t="s">
        <v>50</v>
      </c>
      <c r="B6" s="98">
        <v>200</v>
      </c>
      <c r="C6" s="55" t="s">
        <v>20</v>
      </c>
    </row>
    <row r="7" spans="1:5" x14ac:dyDescent="0.25">
      <c r="A7" s="8" t="s">
        <v>51</v>
      </c>
      <c r="B7" s="98">
        <v>150</v>
      </c>
      <c r="C7" s="55" t="s">
        <v>20</v>
      </c>
    </row>
    <row r="8" spans="1:5" x14ac:dyDescent="0.25">
      <c r="A8" s="8" t="s">
        <v>52</v>
      </c>
      <c r="B8" s="98">
        <v>100</v>
      </c>
      <c r="C8" s="55" t="s">
        <v>20</v>
      </c>
    </row>
    <row r="9" spans="1:5" ht="15" customHeight="1" thickBot="1" x14ac:dyDescent="0.3">
      <c r="A9" s="4"/>
      <c r="B9" s="5"/>
      <c r="C9" s="46"/>
    </row>
    <row r="10" spans="1:5" ht="27" customHeight="1" thickBot="1" x14ac:dyDescent="0.3">
      <c r="A10" s="115" t="s">
        <v>40</v>
      </c>
      <c r="B10" s="116"/>
      <c r="C10" s="117"/>
    </row>
    <row r="11" spans="1:5" x14ac:dyDescent="0.25">
      <c r="A11" s="8" t="s">
        <v>53</v>
      </c>
      <c r="B11" s="99">
        <v>180</v>
      </c>
      <c r="C11" s="55" t="s">
        <v>38</v>
      </c>
    </row>
    <row r="12" spans="1:5" x14ac:dyDescent="0.25">
      <c r="A12" s="8" t="s">
        <v>24</v>
      </c>
      <c r="B12" s="100">
        <v>1000</v>
      </c>
      <c r="C12" s="55" t="s">
        <v>25</v>
      </c>
    </row>
    <row r="13" spans="1:5" ht="15" customHeight="1" thickBot="1" x14ac:dyDescent="0.3">
      <c r="A13" s="4"/>
      <c r="B13" s="5"/>
      <c r="C13" s="46"/>
    </row>
    <row r="14" spans="1:5" ht="26.25" customHeight="1" thickBot="1" x14ac:dyDescent="0.3">
      <c r="A14" s="115" t="s">
        <v>26</v>
      </c>
      <c r="B14" s="116"/>
      <c r="C14" s="117"/>
    </row>
    <row r="15" spans="1:5" x14ac:dyDescent="0.25">
      <c r="A15" s="8" t="s">
        <v>54</v>
      </c>
      <c r="B15" s="104">
        <f>B11*B12</f>
        <v>180000</v>
      </c>
      <c r="C15" s="105"/>
    </row>
    <row r="16" spans="1:5" x14ac:dyDescent="0.25">
      <c r="A16" s="8" t="s">
        <v>55</v>
      </c>
      <c r="B16" s="106">
        <f>B15*B5</f>
        <v>45000</v>
      </c>
      <c r="C16" s="107"/>
    </row>
    <row r="17" spans="1:5" ht="15.75" thickBot="1" x14ac:dyDescent="0.3">
      <c r="A17" s="8" t="s">
        <v>56</v>
      </c>
      <c r="B17" s="108">
        <f>B15+B7+B8+B6</f>
        <v>180450</v>
      </c>
      <c r="C17" s="109"/>
    </row>
    <row r="18" spans="1:5" ht="30" customHeight="1" thickBot="1" x14ac:dyDescent="0.3">
      <c r="A18" s="96" t="s">
        <v>32</v>
      </c>
      <c r="B18" s="118">
        <f>B17+B16</f>
        <v>225450</v>
      </c>
      <c r="C18" s="119"/>
    </row>
    <row r="19" spans="1:5" x14ac:dyDescent="0.25">
      <c r="A19" s="44"/>
      <c r="B19" s="45"/>
      <c r="C19" s="5"/>
    </row>
    <row r="21" spans="1:5" ht="15" customHeight="1" x14ac:dyDescent="0.25">
      <c r="A21" s="110"/>
      <c r="B21" s="111"/>
      <c r="C21" s="111"/>
      <c r="D21" s="111"/>
      <c r="E21" s="111"/>
    </row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0">
    <mergeCell ref="A1:C1"/>
    <mergeCell ref="B15:C15"/>
    <mergeCell ref="B16:C16"/>
    <mergeCell ref="B17:C17"/>
    <mergeCell ref="A21:E21"/>
    <mergeCell ref="A2:C2"/>
    <mergeCell ref="A4:C4"/>
    <mergeCell ref="A10:C10"/>
    <mergeCell ref="A14:C14"/>
    <mergeCell ref="B18:C18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قص الليزر</vt:lpstr>
      <vt:lpstr>الطباعة </vt:lpstr>
      <vt:lpstr>الرسم والتصميم</vt:lpstr>
      <vt:lpstr>المسح 3D</vt:lpstr>
      <vt:lpstr>أوت سورس CNC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Ahmed</cp:lastModifiedBy>
  <cp:revision>0</cp:revision>
  <dcterms:created xsi:type="dcterms:W3CDTF">2026-08-29T22:08:51Z</dcterms:created>
  <dcterms:modified xsi:type="dcterms:W3CDTF">2026-09-11T14:39:06Z</dcterms:modified>
  <dc:language>en-US</dc:language>
</cp:coreProperties>
</file>